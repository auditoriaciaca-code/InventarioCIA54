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1 Pro\Desktop\-[INVENTARIO]-\"/>
    </mc:Choice>
  </mc:AlternateContent>
  <xr:revisionPtr revIDLastSave="0" documentId="13_ncr:1_{B6C2D0BB-4EF9-4695-95A0-7F5AFF28A889}" xr6:coauthVersionLast="47" xr6:coauthVersionMax="47" xr10:uidLastSave="{00000000-0000-0000-0000-000000000000}"/>
  <bookViews>
    <workbookView xWindow="-108" yWindow="-108" windowWidth="23256" windowHeight="12456" xr2:uid="{6F7C88D4-6034-4006-BC18-DABF67746EFE}"/>
  </bookViews>
  <sheets>
    <sheet name="INV CARTG (2)" sheetId="3" r:id="rId1"/>
    <sheet name="INV CARTG" sheetId="1" r:id="rId2"/>
    <sheet name="Hoja1" sheetId="2" r:id="rId3"/>
  </sheets>
  <externalReferences>
    <externalReference r:id="rId4"/>
  </externalReferences>
  <definedNames>
    <definedName name="COD">'[1]COSTOS UNIT INV'!#REF!</definedName>
    <definedName name="prod">#REF!</definedName>
    <definedName name="saldoin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3" l="1"/>
  <c r="P29" i="3"/>
  <c r="P28" i="3"/>
  <c r="P27" i="3"/>
  <c r="P26" i="3"/>
  <c r="P25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35" i="1"/>
  <c r="P29" i="1"/>
  <c r="P28" i="1"/>
  <c r="P27" i="1"/>
  <c r="P26" i="1"/>
  <c r="P25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30" i="1" s="1"/>
  <c r="P30" i="3" l="1"/>
</calcChain>
</file>

<file path=xl/sharedStrings.xml><?xml version="1.0" encoding="utf-8"?>
<sst xmlns="http://schemas.openxmlformats.org/spreadsheetml/2006/main" count="83" uniqueCount="49">
  <si>
    <t>DIA</t>
  </si>
  <si>
    <t xml:space="preserve">MES </t>
  </si>
  <si>
    <t>AÑO</t>
  </si>
  <si>
    <t>CONSECUTIVO</t>
  </si>
  <si>
    <t>No. 001</t>
  </si>
  <si>
    <t>BODEGA _____________</t>
  </si>
  <si>
    <t>REALIZADO POR :</t>
  </si>
  <si>
    <t>GRUPO No.</t>
  </si>
  <si>
    <t>RESPONSABLE DEL AREA:</t>
  </si>
  <si>
    <t>ZONA:</t>
  </si>
  <si>
    <t>CODIGO</t>
  </si>
  <si>
    <t>MATERIALES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</si>
  <si>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</si>
  <si>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</si>
  <si>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</si>
  <si>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</si>
  <si>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</si>
  <si>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</si>
  <si>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</si>
  <si>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</si>
  <si>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</si>
  <si>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</si>
  <si>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</si>
  <si>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</si>
  <si>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</si>
  <si>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 BRUTO</t>
  </si>
  <si>
    <t>ALAMBRON</t>
  </si>
  <si>
    <t>PERFIL LIMPIO</t>
  </si>
  <si>
    <t>BLANDO</t>
  </si>
  <si>
    <t>ACERO</t>
  </si>
  <si>
    <t>ACERO 201</t>
  </si>
  <si>
    <t>GRUESO</t>
  </si>
  <si>
    <t>SALCHICHERO</t>
  </si>
  <si>
    <t>PERFUMERO</t>
  </si>
  <si>
    <t>RADIADOR ALUMINIO</t>
  </si>
  <si>
    <t>RADIADOR MIXTO</t>
  </si>
  <si>
    <t>GRUESO TIPO 3</t>
  </si>
  <si>
    <t>POTE</t>
  </si>
  <si>
    <t>PICADILLO PERFIL</t>
  </si>
  <si>
    <t>ARENA</t>
  </si>
  <si>
    <t>HIERRO</t>
  </si>
  <si>
    <t>TOTAL RECIBIDO</t>
  </si>
  <si>
    <t>ENTREGADO POR</t>
  </si>
  <si>
    <t xml:space="preserve">ELABORADO POR </t>
  </si>
  <si>
    <t xml:space="preserve">SISTEMATIZADO POR </t>
  </si>
  <si>
    <t xml:space="preserve">CONTABILIZADO POR </t>
  </si>
  <si>
    <t>BATERIA GRUPO 1 und</t>
  </si>
  <si>
    <t>SCRAP MOTO peso</t>
  </si>
  <si>
    <t>SCRAP PEQUEÑO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</si>
</sst>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0" xfId="0" applyFont="1"/>
    <xf numFmtId="0" fontId="0" fillId="0" borderId="6" xfId="0" applyBorder="1"/>
    <xf numFmtId="0" fontId="6" fillId="0" borderId="3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164" fontId="7" fillId="3" borderId="9" xfId="1" applyNumberFormat="1" applyFont="1" applyFill="1" applyBorder="1" applyAlignment="1">
      <alignment horizontal="center" vertical="center"/>
    </xf>
    <xf numFmtId="164" fontId="1" fillId="3" borderId="10" xfId="1" applyNumberFormat="1" applyFont="1" applyFill="1" applyBorder="1" applyAlignment="1"/>
    <xf numFmtId="0" fontId="0" fillId="3" borderId="1" xfId="0" applyFill="1" applyBorder="1"/>
    <xf numFmtId="164" fontId="1" fillId="4" borderId="10" xfId="1" applyNumberFormat="1" applyFont="1" applyFill="1" applyBorder="1" applyAlignment="1"/>
    <xf numFmtId="0" fontId="2" fillId="3" borderId="1" xfId="0" applyFont="1" applyFill="1" applyBorder="1"/>
    <xf numFmtId="0" fontId="2" fillId="3" borderId="0" xfId="0" applyFont="1" applyFill="1"/>
    <xf numFmtId="0" fontId="0" fillId="3" borderId="1" xfId="0" applyFill="1" applyBorder="1" applyAlignment="1">
      <alignment horizontal="right"/>
    </xf>
    <xf numFmtId="0" fontId="2" fillId="3" borderId="11" xfId="0" applyFont="1" applyFill="1" applyBorder="1"/>
    <xf numFmtId="0" fontId="3" fillId="0" borderId="1" xfId="0" applyFont="1" applyBorder="1" applyAlignment="1">
      <alignment horizontal="left"/>
    </xf>
    <xf numFmtId="164" fontId="1" fillId="3" borderId="12" xfId="1" applyNumberFormat="1" applyFont="1" applyFill="1" applyBorder="1" applyAlignment="1"/>
    <xf numFmtId="0" fontId="3" fillId="3" borderId="1" xfId="0" applyFont="1" applyFill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0" fillId="0" borderId="14" xfId="0" applyBorder="1"/>
    <xf numFmtId="164" fontId="2" fillId="3" borderId="15" xfId="1" applyNumberFormat="1" applyFont="1" applyFill="1" applyBorder="1" applyAlignment="1"/>
    <xf numFmtId="0" fontId="0" fillId="0" borderId="0" xfId="0" applyAlignment="1">
      <alignment horizontal="left"/>
    </xf>
    <xf numFmtId="164" fontId="2" fillId="3" borderId="16" xfId="1" applyNumberFormat="1" applyFont="1" applyFill="1" applyBorder="1" applyAlignment="1"/>
    <xf numFmtId="164" fontId="2" fillId="0" borderId="0" xfId="1" applyNumberFormat="1" applyFont="1" applyAlignment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41" fontId="4" fillId="0" borderId="1" xfId="2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8" fillId="3" borderId="10" xfId="1" applyNumberFormat="1" applyFont="1" applyFill="1" applyBorder="1" applyAlignment="1"/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s://www.freelogoservices.com/api/main/images/1j+ojl1FOMkX9WypfBe43D6kj...6BrxRInhfEwXs1M3EMoAJtlCcojvdr8Psy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s://www.freelogoservices.com/api/main/images/1j+ojl1FOMkX9WypfBe43D6kj...6BrxRInhfEwXs1M3EMoAJtlCcojvdr8Psy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206829</xdr:colOff>
      <xdr:row>0</xdr:row>
      <xdr:rowOff>43543</xdr:rowOff>
    </xdr:from>
    <xdr:to>
      <xdr:col>1</xdr:col>
      <xdr:colOff>1132115</xdr:colOff>
      <xdr:row>2</xdr:row>
      <xdr:rowOff>113404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99E130-6400-454A-B6B7-D44B424D2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829" y="43543"/>
          <a:ext cx="1717766" cy="7937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84717</xdr:colOff>
      <xdr:row>29</xdr:row>
      <xdr:rowOff>80554</xdr:rowOff>
    </xdr:from>
    <xdr:to>
      <xdr:col>14</xdr:col>
      <xdr:colOff>805543</xdr:colOff>
      <xdr:row>29</xdr:row>
      <xdr:rowOff>424543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13B534B7-2C48-4D33-9D11-B78D10826218}"/>
            </a:ext>
          </a:extLst>
        </xdr:cNvPr>
        <xdr:cNvSpPr/>
      </xdr:nvSpPr>
      <xdr:spPr>
        <a:xfrm>
          <a:off x="14806557" y="11144794"/>
          <a:ext cx="720826" cy="34398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206829</xdr:colOff>
      <xdr:row>0</xdr:row>
      <xdr:rowOff>43543</xdr:rowOff>
    </xdr:from>
    <xdr:to>
      <xdr:col>1</xdr:col>
      <xdr:colOff>1132115</xdr:colOff>
      <xdr:row>2</xdr:row>
      <xdr:rowOff>113404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E52F71-D9DA-4880-9B8F-6D97D432F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829" y="43543"/>
          <a:ext cx="1717766" cy="7937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84717</xdr:colOff>
      <xdr:row>29</xdr:row>
      <xdr:rowOff>80554</xdr:rowOff>
    </xdr:from>
    <xdr:to>
      <xdr:col>14</xdr:col>
      <xdr:colOff>805543</xdr:colOff>
      <xdr:row>29</xdr:row>
      <xdr:rowOff>424543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5EA06F6B-0668-4E24-8E25-6092A3C09A0E}"/>
            </a:ext>
          </a:extLst>
        </xdr:cNvPr>
        <xdr:cNvSpPr/>
      </xdr:nvSpPr>
      <xdr:spPr>
        <a:xfrm>
          <a:off x="14806557" y="11144794"/>
          <a:ext cx="720826" cy="34398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excel/A&#241;o-2023/ACA/Inventarios/INFORME%20DE%20INVENTARIOS%2021-09-2023.xlsx" TargetMode="External"/><Relationship Id="rId1" Type="http://schemas.openxmlformats.org/officeDocument/2006/relationships/externalLinkPath" Target="/Docexcel/A&#241;o-2023/ACA/Inventarios/INFORME%20DE%20INVENTARIOS%2021-09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TER"/>
      <sheetName val="PRODUCCION"/>
      <sheetName val="INFORME"/>
      <sheetName val="INFORME EN POW"/>
      <sheetName val="COSTOS UNIT INV"/>
      <sheetName val="base cod"/>
      <sheetName val="tabla"/>
      <sheetName val="CAPTURA"/>
      <sheetName val="INFORM"/>
      <sheetName val="base jhony"/>
      <sheetName val="puerto"/>
      <sheetName val="CARTAGENA"/>
      <sheetName val="BOGOTA"/>
      <sheetName val="REMISIONES"/>
      <sheetName val="Fomplus-ciudad"/>
      <sheetName val="INFORME DE INVENTARIOS 21-09-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645A-8E77-48CF-B473-C115F1E0A84A}">
  <sheetPr>
    <tabColor rgb="FFFF0000"/>
    <pageSetUpPr fitToPage="1"/>
  </sheetPr>
  <dimension ref="A1:P35"/>
  <sheetViews>
    <sheetView showGridLines="0" tabSelected="1" view="pageBreakPreview" zoomScale="55" zoomScaleNormal="100" zoomScaleSheetLayoutView="55" workbookViewId="0">
      <selection activeCell="N14" sqref="N14"/>
    </sheetView>
  </sheetViews>
  <sheetFormatPr baseColWidth="10" defaultRowHeight="14.4" x14ac:dyDescent="0.3"/>
  <cols>
    <col min="2" max="2" width="38.88671875" customWidth="1"/>
    <col min="3" max="3" width="15.109375" customWidth="1"/>
    <col min="4" max="15" width="13.5546875" customWidth="1"/>
    <col min="16" max="16" width="16.88671875" customWidth="1"/>
  </cols>
  <sheetData>
    <row r="1" spans="1:16" ht="25.8" x14ac:dyDescent="0.5">
      <c r="F1" s="1" t="s">
        <v>0</v>
      </c>
      <c r="G1" s="1" t="s">
        <v>1</v>
      </c>
      <c r="H1" s="1" t="s">
        <v>2</v>
      </c>
      <c r="J1" s="41" t="s">
        <v>3</v>
      </c>
      <c r="K1" s="41"/>
      <c r="L1" s="41"/>
      <c r="M1" s="41"/>
      <c r="N1" s="42" t="s">
        <v>4</v>
      </c>
      <c r="O1" s="42"/>
      <c r="P1" s="42"/>
    </row>
    <row r="2" spans="1:16" ht="31.2" x14ac:dyDescent="0.6">
      <c r="F2" s="2"/>
      <c r="G2" s="2"/>
      <c r="H2" s="2"/>
      <c r="J2" s="43" t="s">
        <v>5</v>
      </c>
      <c r="K2" s="43"/>
      <c r="L2" s="43"/>
      <c r="M2" s="43"/>
      <c r="N2" s="43"/>
      <c r="O2" s="43"/>
      <c r="P2" s="43"/>
    </row>
    <row r="3" spans="1:16" ht="18.600000000000001" customHeight="1" x14ac:dyDescent="0.3"/>
    <row r="4" spans="1:16" ht="27" customHeight="1" thickBot="1" x14ac:dyDescent="0.45">
      <c r="B4" s="3" t="s">
        <v>6</v>
      </c>
      <c r="C4" s="4"/>
      <c r="D4" s="5"/>
      <c r="E4" s="5"/>
      <c r="F4" s="5"/>
      <c r="G4" s="6"/>
      <c r="J4" s="7" t="s">
        <v>7</v>
      </c>
      <c r="K4" s="8"/>
      <c r="L4" s="8"/>
      <c r="M4" s="8"/>
      <c r="N4" s="8"/>
      <c r="O4" s="8"/>
    </row>
    <row r="5" spans="1:16" ht="22.8" customHeight="1" x14ac:dyDescent="0.4">
      <c r="B5" s="9" t="s">
        <v>8</v>
      </c>
      <c r="C5" s="10"/>
      <c r="D5" s="11"/>
      <c r="E5" s="12"/>
      <c r="F5" s="12"/>
      <c r="G5" s="13"/>
      <c r="H5" s="14"/>
      <c r="I5" s="14"/>
      <c r="J5" s="15" t="s">
        <v>9</v>
      </c>
      <c r="K5" s="15"/>
      <c r="L5" s="15"/>
      <c r="M5" s="15"/>
      <c r="N5" s="15"/>
      <c r="O5" s="15"/>
      <c r="P5" s="14"/>
    </row>
    <row r="6" spans="1:16" ht="21.6" thickBot="1" x14ac:dyDescent="0.45">
      <c r="H6" s="14"/>
      <c r="I6" s="14"/>
      <c r="J6" s="14"/>
      <c r="K6" s="14"/>
    </row>
    <row r="7" spans="1:16" x14ac:dyDescent="0.3">
      <c r="A7" s="16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6" t="s">
        <v>17</v>
      </c>
      <c r="I7" s="16" t="s">
        <v>18</v>
      </c>
      <c r="J7" s="16" t="s">
        <v>19</v>
      </c>
      <c r="K7" s="16" t="s">
        <v>20</v>
      </c>
      <c r="L7" s="16" t="s">
        <v>21</v>
      </c>
      <c r="M7" s="16" t="s">
        <v>22</v>
      </c>
      <c r="N7" s="16" t="s">
        <v>23</v>
      </c>
      <c r="O7" s="16" t="s">
        <v>24</v>
      </c>
      <c r="P7" s="17" t="s">
        <v>25</v>
      </c>
    </row>
    <row r="8" spans="1:16" ht="29.4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8">
        <f>SUM(C8:O8)</f>
        <v>0</v>
      </c>
    </row>
    <row r="9" spans="1:16" ht="32.4" customHeight="1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8">
        <f t="shared" ref="P9:P29" si="0">SUM(C9:O9)</f>
        <v>0</v>
      </c>
    </row>
    <row r="10" spans="1:16" ht="32.4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8">
        <f t="shared" si="0"/>
        <v>0</v>
      </c>
    </row>
    <row r="11" spans="1:16" ht="32.4" customHeight="1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8">
        <f t="shared" si="0"/>
        <v>0</v>
      </c>
    </row>
    <row r="12" spans="1:16" ht="32.4" customHeight="1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47">
        <f t="shared" si="0"/>
        <v>0</v>
      </c>
    </row>
    <row r="13" spans="1:16" ht="32.4" customHeight="1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8">
        <f t="shared" si="0"/>
        <v>0</v>
      </c>
    </row>
    <row r="14" spans="1:16" ht="32.4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8">
        <f t="shared" si="0"/>
        <v>0</v>
      </c>
    </row>
    <row r="15" spans="1:16" ht="32.4" customHeight="1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8">
        <f t="shared" si="0"/>
        <v>0</v>
      </c>
    </row>
    <row r="16" spans="1:16" ht="32.4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8">
        <f t="shared" si="0"/>
        <v>0</v>
      </c>
    </row>
    <row r="17" spans="1:16" ht="32.4" customHeight="1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8">
        <f t="shared" si="0"/>
        <v>0</v>
      </c>
    </row>
    <row r="18" spans="1:16" ht="32.4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8">
        <f t="shared" si="0"/>
        <v>0</v>
      </c>
    </row>
    <row r="19" spans="1:16" ht="32.4" customHeight="1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8">
        <f t="shared" si="0"/>
        <v>0</v>
      </c>
    </row>
    <row r="20" spans="1:16" ht="32.4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8">
        <f t="shared" si="0"/>
        <v>0</v>
      </c>
    </row>
    <row r="21" spans="1:16" s="22" customFormat="1" ht="32.4" customHeight="1" x14ac:dyDescent="0.3">
      <c r="A21" s="19"/>
      <c r="B21" s="19"/>
      <c r="C21" s="19"/>
      <c r="D21" s="21"/>
      <c r="E21" s="21"/>
      <c r="F21" s="21"/>
      <c r="G21" s="21"/>
      <c r="H21" s="21"/>
      <c r="I21" s="21"/>
      <c r="J21" s="21"/>
      <c r="K21" s="21"/>
      <c r="M21" s="21"/>
      <c r="N21" s="21"/>
      <c r="O21" s="21"/>
      <c r="P21" s="18">
        <f t="shared" si="0"/>
        <v>0</v>
      </c>
    </row>
    <row r="22" spans="1:16" ht="32.4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8">
        <f t="shared" si="0"/>
        <v>0</v>
      </c>
    </row>
    <row r="23" spans="1:16" s="22" customFormat="1" ht="32.4" customHeight="1" x14ac:dyDescent="0.3">
      <c r="A23" s="23"/>
      <c r="B23" s="19"/>
      <c r="C23" s="19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8">
        <f t="shared" si="0"/>
        <v>0</v>
      </c>
    </row>
    <row r="24" spans="1:16" ht="32.4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8"/>
    </row>
    <row r="25" spans="1:16" s="22" customFormat="1" ht="32.4" customHeight="1" x14ac:dyDescent="0.3">
      <c r="A25" s="19"/>
      <c r="B25" s="19"/>
      <c r="C25" s="19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18">
        <f t="shared" si="0"/>
        <v>0</v>
      </c>
    </row>
    <row r="26" spans="1:16" ht="32.4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8">
        <f t="shared" si="0"/>
        <v>0</v>
      </c>
    </row>
    <row r="27" spans="1:16" s="22" customFormat="1" ht="32.4" customHeight="1" x14ac:dyDescent="0.3">
      <c r="A27" s="19"/>
      <c r="B27" s="19"/>
      <c r="C27" s="19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18">
        <f t="shared" si="0"/>
        <v>0</v>
      </c>
    </row>
    <row r="28" spans="1:16" s="22" customFormat="1" ht="32.4" customHeight="1" x14ac:dyDescent="0.4">
      <c r="A28" s="2"/>
      <c r="B28" s="2"/>
      <c r="C28" s="2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>
        <f t="shared" si="0"/>
        <v>0</v>
      </c>
    </row>
    <row r="29" spans="1:16" ht="32.4" customHeight="1" x14ac:dyDescent="0.4">
      <c r="A29" s="19"/>
      <c r="B29" s="19"/>
      <c r="C29" s="19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18">
        <f t="shared" si="0"/>
        <v>0</v>
      </c>
    </row>
    <row r="30" spans="1:16" ht="34.799999999999997" customHeight="1" thickBot="1" x14ac:dyDescent="0.45">
      <c r="A30" s="28" t="s">
        <v>41</v>
      </c>
      <c r="B30" s="28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29"/>
      <c r="N30" s="29"/>
      <c r="O30" s="29"/>
      <c r="P30" s="30">
        <f>SUM(P8:P29)</f>
        <v>0</v>
      </c>
    </row>
    <row r="31" spans="1:16" x14ac:dyDescent="0.3">
      <c r="B31" s="31"/>
      <c r="P31" s="32"/>
    </row>
    <row r="32" spans="1:16" x14ac:dyDescent="0.3">
      <c r="B32" s="31"/>
      <c r="P32" s="33"/>
    </row>
    <row r="33" spans="2:16" x14ac:dyDescent="0.3">
      <c r="B33" s="34" t="s">
        <v>42</v>
      </c>
      <c r="C33" s="35"/>
      <c r="D33" s="45" t="s">
        <v>43</v>
      </c>
      <c r="E33" s="46"/>
      <c r="F33" s="35"/>
      <c r="G33" s="35"/>
      <c r="H33" s="45" t="s">
        <v>44</v>
      </c>
      <c r="I33" s="46"/>
      <c r="J33" s="35"/>
      <c r="K33" s="35"/>
      <c r="L33" s="35"/>
      <c r="M33" s="45" t="s">
        <v>45</v>
      </c>
      <c r="N33" s="46"/>
      <c r="O33" s="35"/>
      <c r="P33" s="36"/>
    </row>
    <row r="34" spans="2:16" x14ac:dyDescent="0.3">
      <c r="B34" s="37"/>
      <c r="D34" s="38"/>
      <c r="E34" s="39"/>
      <c r="H34" s="38"/>
      <c r="I34" s="39"/>
      <c r="M34" s="40"/>
      <c r="N34" s="40"/>
    </row>
    <row r="35" spans="2:16" x14ac:dyDescent="0.3">
      <c r="P35">
        <f>SUM(P34:P34)</f>
        <v>0</v>
      </c>
    </row>
  </sheetData>
  <mergeCells count="10">
    <mergeCell ref="D34:E34"/>
    <mergeCell ref="H34:I34"/>
    <mergeCell ref="M34:N34"/>
    <mergeCell ref="J1:M1"/>
    <mergeCell ref="N1:P1"/>
    <mergeCell ref="J2:P2"/>
    <mergeCell ref="C30:L30"/>
    <mergeCell ref="D33:E33"/>
    <mergeCell ref="H33:I33"/>
    <mergeCell ref="M33:N33"/>
  </mergeCells>
  <pageMargins left="0.70866141732283472" right="0.51181102362204722" top="0.74803149606299213" bottom="0.74803149606299213" header="0.31496062992125984" footer="0.31496062992125984"/>
  <pageSetup scale="50" orientation="landscape" r:id="rId1"/>
  <headerFooter>
    <oddFooter>&amp;L&amp;P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74DB-AE0F-4523-8335-2EFE25D1CA99}">
  <sheetPr>
    <tabColor rgb="FFFF0000"/>
    <pageSetUpPr fitToPage="1"/>
  </sheetPr>
  <dimension ref="A1:P35"/>
  <sheetViews>
    <sheetView showGridLines="0" view="pageBreakPreview" zoomScale="55" zoomScaleNormal="100" zoomScaleSheetLayoutView="55" workbookViewId="0">
      <selection activeCell="C27" sqref="C27"/>
    </sheetView>
  </sheetViews>
  <sheetFormatPr baseColWidth="10" defaultRowHeight="14.4" x14ac:dyDescent="0.3"/>
  <cols>
    <col min="2" max="2" width="38.88671875" customWidth="1"/>
    <col min="3" max="3" width="15.109375" customWidth="1"/>
    <col min="4" max="15" width="13.5546875" customWidth="1"/>
    <col min="16" max="16" width="16.88671875" customWidth="1"/>
  </cols>
  <sheetData>
    <row r="1" spans="1:16" ht="25.8" x14ac:dyDescent="0.5">
      <c r="F1" s="1" t="s">
        <v>0</v>
      </c>
      <c r="G1" s="1" t="s">
        <v>1</v>
      </c>
      <c r="H1" s="1" t="s">
        <v>2</v>
      </c>
      <c r="J1" s="41" t="s">
        <v>3</v>
      </c>
      <c r="K1" s="41"/>
      <c r="L1" s="41"/>
      <c r="M1" s="41"/>
      <c r="N1" s="42" t="s">
        <v>4</v>
      </c>
      <c r="O1" s="42"/>
      <c r="P1" s="42"/>
    </row>
    <row r="2" spans="1:16" ht="31.2" x14ac:dyDescent="0.6">
      <c r="F2" s="2"/>
      <c r="G2" s="2"/>
      <c r="H2" s="2"/>
      <c r="J2" s="43" t="s">
        <v>5</v>
      </c>
      <c r="K2" s="43"/>
      <c r="L2" s="43"/>
      <c r="M2" s="43"/>
      <c r="N2" s="43"/>
      <c r="O2" s="43"/>
      <c r="P2" s="43"/>
    </row>
    <row r="3" spans="1:16" ht="18.600000000000001" customHeight="1" x14ac:dyDescent="0.3"/>
    <row r="4" spans="1:16" ht="27" customHeight="1" thickBot="1" x14ac:dyDescent="0.45">
      <c r="B4" s="3" t="s">
        <v>6</v>
      </c>
      <c r="C4" s="4"/>
      <c r="D4" s="5"/>
      <c r="E4" s="5"/>
      <c r="F4" s="5"/>
      <c r="G4" s="6"/>
      <c r="J4" s="7" t="s">
        <v>7</v>
      </c>
      <c r="K4" s="8"/>
      <c r="L4" s="8"/>
      <c r="M4" s="8"/>
      <c r="N4" s="8"/>
      <c r="O4" s="8"/>
    </row>
    <row r="5" spans="1:16" ht="22.8" customHeight="1" x14ac:dyDescent="0.4">
      <c r="B5" s="9" t="s">
        <v>8</v>
      </c>
      <c r="C5" s="10"/>
      <c r="D5" s="11"/>
      <c r="E5" s="12"/>
      <c r="F5" s="12"/>
      <c r="G5" s="13"/>
      <c r="H5" s="14"/>
      <c r="I5" s="14"/>
      <c r="J5" s="15" t="s">
        <v>9</v>
      </c>
      <c r="K5" s="15"/>
      <c r="L5" s="15"/>
      <c r="M5" s="15"/>
      <c r="N5" s="15"/>
      <c r="O5" s="15"/>
      <c r="P5" s="14"/>
    </row>
    <row r="6" spans="1:16" ht="21.6" thickBot="1" x14ac:dyDescent="0.45">
      <c r="H6" s="14"/>
      <c r="I6" s="14"/>
      <c r="J6" s="14"/>
      <c r="K6" s="14"/>
    </row>
    <row r="7" spans="1:16" x14ac:dyDescent="0.3">
      <c r="A7" s="16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6" t="s">
        <v>17</v>
      </c>
      <c r="I7" s="16" t="s">
        <v>18</v>
      </c>
      <c r="J7" s="16" t="s">
        <v>19</v>
      </c>
      <c r="K7" s="16" t="s">
        <v>20</v>
      </c>
      <c r="L7" s="16" t="s">
        <v>21</v>
      </c>
      <c r="M7" s="16" t="s">
        <v>22</v>
      </c>
      <c r="N7" s="16" t="s">
        <v>23</v>
      </c>
      <c r="O7" s="16" t="s">
        <v>24</v>
      </c>
      <c r="P7" s="17" t="s">
        <v>25</v>
      </c>
    </row>
    <row r="8" spans="1:16" ht="29.4" customHeight="1" x14ac:dyDescent="0.3">
      <c r="A8" s="2">
        <v>11011</v>
      </c>
      <c r="B8" s="2" t="s">
        <v>26</v>
      </c>
      <c r="C8" s="2">
        <v>22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8">
        <f>SUM(C8:O8)</f>
        <v>22</v>
      </c>
    </row>
    <row r="9" spans="1:16" ht="32.4" customHeight="1" x14ac:dyDescent="0.3">
      <c r="A9" s="19">
        <v>11003</v>
      </c>
      <c r="B9" s="19" t="s">
        <v>27</v>
      </c>
      <c r="C9" s="19">
        <v>431</v>
      </c>
      <c r="D9" s="19">
        <v>380</v>
      </c>
      <c r="E9" s="19">
        <v>375</v>
      </c>
      <c r="F9" s="19">
        <v>365</v>
      </c>
      <c r="G9" s="19">
        <v>406</v>
      </c>
      <c r="H9" s="19">
        <v>384</v>
      </c>
      <c r="I9" s="19">
        <v>367</v>
      </c>
      <c r="J9" s="19">
        <v>416</v>
      </c>
      <c r="K9" s="19">
        <v>404</v>
      </c>
      <c r="L9" s="19">
        <v>392</v>
      </c>
      <c r="M9" s="19">
        <v>388</v>
      </c>
      <c r="N9" s="19">
        <v>378</v>
      </c>
      <c r="O9" s="19">
        <v>401</v>
      </c>
      <c r="P9" s="18">
        <f t="shared" ref="P9:P29" si="0">SUM(C9:O9)</f>
        <v>5087</v>
      </c>
    </row>
    <row r="10" spans="1:16" ht="32.4" customHeight="1" x14ac:dyDescent="0.3">
      <c r="A10" s="2">
        <v>11004</v>
      </c>
      <c r="B10" s="2" t="s">
        <v>28</v>
      </c>
      <c r="C10" s="2">
        <v>484</v>
      </c>
      <c r="D10" s="2">
        <v>602</v>
      </c>
      <c r="E10" s="2">
        <v>597</v>
      </c>
      <c r="F10" s="2">
        <v>542</v>
      </c>
      <c r="G10" s="2">
        <v>415</v>
      </c>
      <c r="H10" s="2">
        <v>275</v>
      </c>
      <c r="I10" s="2">
        <v>180</v>
      </c>
      <c r="J10" s="2">
        <v>47</v>
      </c>
      <c r="K10" s="2"/>
      <c r="L10" s="2"/>
      <c r="M10" s="2"/>
      <c r="N10" s="2"/>
      <c r="O10" s="2"/>
      <c r="P10" s="18">
        <f t="shared" si="0"/>
        <v>3142</v>
      </c>
    </row>
    <row r="11" spans="1:16" ht="32.4" customHeight="1" x14ac:dyDescent="0.3">
      <c r="A11" s="19">
        <v>11003</v>
      </c>
      <c r="B11" s="19" t="s">
        <v>27</v>
      </c>
      <c r="C11" s="19">
        <v>385</v>
      </c>
      <c r="D11" s="19">
        <v>368</v>
      </c>
      <c r="E11" s="19">
        <v>390</v>
      </c>
      <c r="F11" s="19">
        <v>420</v>
      </c>
      <c r="G11" s="19">
        <v>253</v>
      </c>
      <c r="H11" s="19">
        <v>379</v>
      </c>
      <c r="I11" s="19">
        <v>380</v>
      </c>
      <c r="J11" s="19">
        <v>26</v>
      </c>
      <c r="K11" s="19"/>
      <c r="L11" s="19"/>
      <c r="M11" s="19"/>
      <c r="N11" s="19"/>
      <c r="O11" s="19"/>
      <c r="P11" s="18">
        <f t="shared" si="0"/>
        <v>2601</v>
      </c>
    </row>
    <row r="12" spans="1:16" ht="32.4" customHeight="1" x14ac:dyDescent="0.3">
      <c r="A12" s="2">
        <v>10001</v>
      </c>
      <c r="B12" s="2" t="s">
        <v>29</v>
      </c>
      <c r="C12" s="2">
        <v>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0">
        <f t="shared" si="0"/>
        <v>25</v>
      </c>
    </row>
    <row r="13" spans="1:16" ht="32.4" customHeight="1" x14ac:dyDescent="0.3">
      <c r="A13" s="19">
        <v>10004</v>
      </c>
      <c r="B13" s="19" t="s">
        <v>30</v>
      </c>
      <c r="C13" s="19">
        <v>20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8">
        <f t="shared" si="0"/>
        <v>20</v>
      </c>
    </row>
    <row r="14" spans="1:16" ht="32.4" customHeight="1" x14ac:dyDescent="0.3">
      <c r="A14" s="2">
        <v>11005</v>
      </c>
      <c r="B14" s="2" t="s">
        <v>31</v>
      </c>
      <c r="C14" s="2">
        <v>279</v>
      </c>
      <c r="D14" s="2">
        <v>232</v>
      </c>
      <c r="E14" s="2">
        <v>476</v>
      </c>
      <c r="F14" s="2">
        <v>217</v>
      </c>
      <c r="G14" s="2">
        <v>319</v>
      </c>
      <c r="H14" s="2">
        <v>480</v>
      </c>
      <c r="I14" s="2">
        <v>371</v>
      </c>
      <c r="J14" s="2">
        <v>325</v>
      </c>
      <c r="K14" s="2">
        <v>363</v>
      </c>
      <c r="L14" s="2">
        <v>446</v>
      </c>
      <c r="M14" s="2">
        <v>384</v>
      </c>
      <c r="N14" s="2">
        <v>304</v>
      </c>
      <c r="O14" s="2">
        <v>610</v>
      </c>
      <c r="P14" s="18">
        <f t="shared" si="0"/>
        <v>4806</v>
      </c>
    </row>
    <row r="15" spans="1:16" ht="32.4" customHeight="1" x14ac:dyDescent="0.3">
      <c r="A15" s="19">
        <v>11007</v>
      </c>
      <c r="B15" s="19" t="s">
        <v>32</v>
      </c>
      <c r="C15" s="19">
        <v>5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8">
        <f t="shared" si="0"/>
        <v>5</v>
      </c>
    </row>
    <row r="16" spans="1:16" ht="32.4" customHeight="1" x14ac:dyDescent="0.3">
      <c r="A16" s="2">
        <v>11008</v>
      </c>
      <c r="B16" s="2" t="s">
        <v>33</v>
      </c>
      <c r="C16" s="2">
        <v>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8">
        <f t="shared" si="0"/>
        <v>5</v>
      </c>
    </row>
    <row r="17" spans="1:16" ht="32.4" customHeight="1" x14ac:dyDescent="0.3">
      <c r="A17" s="19">
        <v>11005</v>
      </c>
      <c r="B17" s="19" t="s">
        <v>31</v>
      </c>
      <c r="C17" s="19">
        <v>315</v>
      </c>
      <c r="D17" s="19">
        <v>405</v>
      </c>
      <c r="E17" s="19">
        <v>391</v>
      </c>
      <c r="F17" s="19">
        <v>288</v>
      </c>
      <c r="G17" s="19">
        <v>505</v>
      </c>
      <c r="H17" s="19">
        <v>322</v>
      </c>
      <c r="I17" s="19">
        <v>317</v>
      </c>
      <c r="J17" s="19">
        <v>376</v>
      </c>
      <c r="K17" s="19">
        <v>510</v>
      </c>
      <c r="L17" s="19">
        <v>296</v>
      </c>
      <c r="M17" s="19">
        <v>732</v>
      </c>
      <c r="N17" s="19">
        <v>637</v>
      </c>
      <c r="O17" s="19">
        <v>204</v>
      </c>
      <c r="P17" s="18">
        <f t="shared" si="0"/>
        <v>5298</v>
      </c>
    </row>
    <row r="18" spans="1:16" ht="32.4" customHeight="1" x14ac:dyDescent="0.3">
      <c r="A18" s="2">
        <v>11006</v>
      </c>
      <c r="B18" s="2" t="s">
        <v>34</v>
      </c>
      <c r="C18" s="2">
        <v>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8">
        <f t="shared" si="0"/>
        <v>1</v>
      </c>
    </row>
    <row r="19" spans="1:16" ht="32.4" customHeight="1" x14ac:dyDescent="0.3">
      <c r="A19" s="19">
        <v>11005</v>
      </c>
      <c r="B19" s="19" t="s">
        <v>31</v>
      </c>
      <c r="C19" s="19">
        <v>321</v>
      </c>
      <c r="D19" s="19">
        <v>196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8">
        <f t="shared" si="0"/>
        <v>517</v>
      </c>
    </row>
    <row r="20" spans="1:16" ht="32.4" customHeight="1" x14ac:dyDescent="0.3">
      <c r="A20" s="2">
        <v>19002</v>
      </c>
      <c r="B20" s="2" t="s">
        <v>35</v>
      </c>
      <c r="C20" s="2">
        <v>193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8">
        <f t="shared" si="0"/>
        <v>193</v>
      </c>
    </row>
    <row r="21" spans="1:16" s="22" customFormat="1" ht="32.4" customHeight="1" x14ac:dyDescent="0.3">
      <c r="A21" s="19">
        <v>11028</v>
      </c>
      <c r="B21" s="19" t="s">
        <v>36</v>
      </c>
      <c r="C21" s="19">
        <v>71</v>
      </c>
      <c r="D21" s="21"/>
      <c r="E21" s="21"/>
      <c r="F21" s="21"/>
      <c r="G21" s="21"/>
      <c r="H21" s="21"/>
      <c r="I21" s="21"/>
      <c r="J21" s="21"/>
      <c r="K21" s="21"/>
      <c r="M21" s="21"/>
      <c r="N21" s="21"/>
      <c r="O21" s="21"/>
      <c r="P21" s="18">
        <f t="shared" si="0"/>
        <v>71</v>
      </c>
    </row>
    <row r="22" spans="1:16" ht="32.4" customHeight="1" x14ac:dyDescent="0.3">
      <c r="A22" s="2">
        <v>11001</v>
      </c>
      <c r="B22" s="2" t="s">
        <v>37</v>
      </c>
      <c r="C22" s="2">
        <v>302</v>
      </c>
      <c r="D22" s="2">
        <v>122</v>
      </c>
      <c r="E22" s="2">
        <v>2</v>
      </c>
      <c r="F22" s="2">
        <v>22</v>
      </c>
      <c r="G22" s="2"/>
      <c r="H22" s="2"/>
      <c r="I22" s="2"/>
      <c r="J22" s="2"/>
      <c r="K22" s="2"/>
      <c r="L22" s="2"/>
      <c r="M22" s="2"/>
      <c r="N22" s="2"/>
      <c r="O22" s="2"/>
      <c r="P22" s="18">
        <f t="shared" si="0"/>
        <v>448</v>
      </c>
    </row>
    <row r="23" spans="1:16" s="22" customFormat="1" ht="32.4" customHeight="1" x14ac:dyDescent="0.3">
      <c r="A23" s="23">
        <v>11031</v>
      </c>
      <c r="B23" s="19" t="s">
        <v>38</v>
      </c>
      <c r="C23" s="19">
        <v>115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8">
        <f t="shared" si="0"/>
        <v>115</v>
      </c>
    </row>
    <row r="24" spans="1:16" ht="32.4" customHeight="1" x14ac:dyDescent="0.3">
      <c r="A24" s="2"/>
      <c r="B24" s="2" t="s">
        <v>39</v>
      </c>
      <c r="C24" s="2">
        <v>761</v>
      </c>
      <c r="D24" s="2">
        <v>219</v>
      </c>
      <c r="E24" s="2">
        <v>13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18"/>
    </row>
    <row r="25" spans="1:16" s="22" customFormat="1" ht="32.4" customHeight="1" x14ac:dyDescent="0.3">
      <c r="A25" s="19">
        <v>14003</v>
      </c>
      <c r="B25" s="19" t="s">
        <v>46</v>
      </c>
      <c r="C25" s="19">
        <v>32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18">
        <f t="shared" si="0"/>
        <v>32</v>
      </c>
    </row>
    <row r="26" spans="1:16" ht="32.4" customHeight="1" x14ac:dyDescent="0.3">
      <c r="A26" s="2">
        <v>18004</v>
      </c>
      <c r="B26" s="2" t="s">
        <v>47</v>
      </c>
      <c r="C26" s="2">
        <v>26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8">
        <f t="shared" si="0"/>
        <v>26</v>
      </c>
    </row>
    <row r="27" spans="1:16" s="22" customFormat="1" ht="32.4" customHeight="1" x14ac:dyDescent="0.3">
      <c r="A27" s="19">
        <v>18009</v>
      </c>
      <c r="B27" s="19" t="s">
        <v>48</v>
      </c>
      <c r="C27" s="19">
        <v>12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18">
        <f t="shared" si="0"/>
        <v>12</v>
      </c>
    </row>
    <row r="28" spans="1:16" s="22" customFormat="1" ht="32.4" customHeight="1" x14ac:dyDescent="0.4">
      <c r="A28" s="2">
        <v>16002</v>
      </c>
      <c r="B28" s="2" t="s">
        <v>40</v>
      </c>
      <c r="C28" s="2">
        <v>229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>
        <f t="shared" si="0"/>
        <v>229</v>
      </c>
    </row>
    <row r="29" spans="1:16" ht="32.4" customHeight="1" x14ac:dyDescent="0.4">
      <c r="A29" s="19"/>
      <c r="B29" s="19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18">
        <f t="shared" si="0"/>
        <v>0</v>
      </c>
    </row>
    <row r="30" spans="1:16" ht="34.799999999999997" customHeight="1" thickBot="1" x14ac:dyDescent="0.45">
      <c r="A30" s="28" t="s">
        <v>41</v>
      </c>
      <c r="B30" s="28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29"/>
      <c r="N30" s="29"/>
      <c r="O30" s="29"/>
      <c r="P30" s="30">
        <f>SUM(P8:P29)</f>
        <v>22655</v>
      </c>
    </row>
    <row r="31" spans="1:16" x14ac:dyDescent="0.3">
      <c r="B31" s="31"/>
      <c r="P31" s="32"/>
    </row>
    <row r="32" spans="1:16" x14ac:dyDescent="0.3">
      <c r="B32" s="31"/>
      <c r="P32" s="33"/>
    </row>
    <row r="33" spans="2:16" x14ac:dyDescent="0.3">
      <c r="B33" s="34" t="s">
        <v>42</v>
      </c>
      <c r="C33" s="35"/>
      <c r="D33" s="45" t="s">
        <v>43</v>
      </c>
      <c r="E33" s="46"/>
      <c r="F33" s="35"/>
      <c r="G33" s="35"/>
      <c r="H33" s="45" t="s">
        <v>44</v>
      </c>
      <c r="I33" s="46"/>
      <c r="J33" s="35"/>
      <c r="K33" s="35"/>
      <c r="L33" s="35"/>
      <c r="M33" s="45" t="s">
        <v>45</v>
      </c>
      <c r="N33" s="46"/>
      <c r="O33" s="35"/>
      <c r="P33" s="36"/>
    </row>
    <row r="34" spans="2:16" x14ac:dyDescent="0.3">
      <c r="B34" s="37"/>
      <c r="D34" s="38"/>
      <c r="E34" s="39"/>
      <c r="H34" s="38"/>
      <c r="I34" s="39"/>
      <c r="M34" s="40"/>
      <c r="N34" s="40"/>
    </row>
    <row r="35" spans="2:16" x14ac:dyDescent="0.3">
      <c r="P35">
        <f>SUM(P34:P34)</f>
        <v>0</v>
      </c>
    </row>
  </sheetData>
  <mergeCells count="10">
    <mergeCell ref="D34:E34"/>
    <mergeCell ref="H34:I34"/>
    <mergeCell ref="M34:N34"/>
    <mergeCell ref="J1:M1"/>
    <mergeCell ref="N1:P1"/>
    <mergeCell ref="J2:P2"/>
    <mergeCell ref="C30:L30"/>
    <mergeCell ref="D33:E33"/>
    <mergeCell ref="H33:I33"/>
    <mergeCell ref="M33:N33"/>
  </mergeCells>
  <pageMargins left="0.70866141732283472" right="0.51181102362204722" top="0.74803149606299213" bottom="0.74803149606299213" header="0.31496062992125984" footer="0.31496062992125984"/>
  <pageSetup scale="50" orientation="landscape" r:id="rId1"/>
  <headerFooter>
    <oddFooter>&amp;L&amp;P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403D-8223-4063-A63B-54F3D547683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 CARTG (2)</vt:lpstr>
      <vt:lpstr>INV CARTG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 Pro</dc:creator>
  <cp:lastModifiedBy>Alfredo Orozco</cp:lastModifiedBy>
  <cp:lastPrinted>2026-06-01T14:42:56Z</cp:lastPrinted>
  <dcterms:created xsi:type="dcterms:W3CDTF">2026-01-08T15:13:39Z</dcterms:created>
  <dcterms:modified xsi:type="dcterms:W3CDTF">2026-06-01T15:33:19Z</dcterms:modified>
</cp:coreProperties>
</file>